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DataScience\[DIVE]\Brand\KMJ\"/>
    </mc:Choice>
  </mc:AlternateContent>
  <xr:revisionPtr revIDLastSave="0" documentId="13_ncr:1_{6F208F97-A448-49A4-B665-5E79E99A11CA}" xr6:coauthVersionLast="47" xr6:coauthVersionMax="47" xr10:uidLastSave="{00000000-0000-0000-0000-000000000000}"/>
  <bookViews>
    <workbookView xWindow="-98" yWindow="-98" windowWidth="21795" windowHeight="13695" xr2:uid="{25A6EA63-D4F0-B149-A6F3-93DCECD0C3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 i="1" l="1"/>
  <c r="O15" i="1"/>
  <c r="O16" i="1"/>
  <c r="O17" i="1"/>
  <c r="O18" i="1"/>
  <c r="O13" i="1"/>
</calcChain>
</file>

<file path=xl/sharedStrings.xml><?xml version="1.0" encoding="utf-8"?>
<sst xmlns="http://schemas.openxmlformats.org/spreadsheetml/2006/main" count="29" uniqueCount="28">
  <si>
    <t>논문주제</t>
  </si>
  <si>
    <t>연구목적</t>
  </si>
  <si>
    <t>선행 연구</t>
  </si>
  <si>
    <t>저널명</t>
  </si>
  <si>
    <t>출판년도</t>
  </si>
  <si>
    <t>데이터 소스</t>
  </si>
  <si>
    <t>데이터 기간</t>
  </si>
  <si>
    <t>종속변수</t>
  </si>
  <si>
    <t>분석내용 및 방법론</t>
  </si>
  <si>
    <t>2011.01.29 ~ 2016.06.19</t>
  </si>
  <si>
    <t>European Journal of Operational Research</t>
  </si>
  <si>
    <t xml:space="preserve"> Wang, X., et al. (2024). Forecast combinations: An over 50-year review</t>
    <phoneticPr fontId="4" type="noConversion"/>
  </si>
  <si>
    <t>M5 데이터셋 기반 간헐적 수요의 확률예측 모델 비교 및 재고 성능 분석</t>
    <phoneticPr fontId="4" type="noConversion"/>
  </si>
  <si>
    <t>소매 공급망에서 간헐적 수요 계열은 전체 SKU의 상당 비중을 차지함에도 불구하고, 기존 확률예측 연구는 수요 유형을 혼합하여 분석하거나 예측 정확도와 재고 성능을 분리하여 평가하는 한계가 있어, 간헐적 수요 전용 모델의 이론적 적용 범위 내에서 확률예측 성능과 실제 재고 비용을 동시에 검증하는 연구가 필요</t>
    <phoneticPr fontId="4" type="noConversion"/>
  </si>
  <si>
    <r>
      <t xml:space="preserve">[데이터 소스]
</t>
    </r>
    <r>
      <rPr>
        <b/>
        <sz val="12"/>
        <color rgb="FFFF0000"/>
        <rFont val="맑은 고딕"/>
        <family val="3"/>
        <charset val="129"/>
        <scheme val="minor"/>
      </rPr>
      <t>- 데이터: M5 Forecasting – Uncertainty (Kaggle, 2020)
- 출처: Walmart 실제 판매 데이터
- 범위: 미국 3개 주(캘리포니아·텍사스·위스콘신), 10개 매장, 3개 카테고리
- 전체 계열: 30,490개 SKU</t>
    </r>
    <r>
      <rPr>
        <b/>
        <sz val="12"/>
        <color theme="1"/>
        <rFont val="맑은 고딕"/>
        <family val="2"/>
        <scheme val="minor"/>
      </rPr>
      <t xml:space="preserve">
- 분석 대상: ADI ≥ 1.32, CV² &lt; 0.49 기준 간헐적 계열 23,042개 (전체의 75.6%)
- 분할: 학습(d_1~d_1913) / 검증(d_1886~d_1913) / 테스트(d_1914~d_1941, 28일)</t>
    </r>
    <phoneticPr fontId="4" type="noConversion"/>
  </si>
  <si>
    <r>
      <t xml:space="preserve">[예측 정확도]
</t>
    </r>
    <r>
      <rPr>
        <b/>
        <sz val="12"/>
        <color rgb="FFFF0000"/>
        <rFont val="맑은 고딕"/>
        <family val="3"/>
        <charset val="129"/>
        <scheme val="minor"/>
      </rPr>
      <t>- WQL (Weighted Quantile Loss)</t>
    </r>
    <r>
      <rPr>
        <b/>
        <sz val="12"/>
        <color theme="1"/>
        <rFont val="맑은 고딕"/>
        <family val="2"/>
        <scheme val="minor"/>
      </rPr>
      <t xml:space="preserve">
- MASE (Mean Absolute Scaled Error
- MAAPE (Mean Arctangent APE)
- Sharpness, Coverage: 예측 구간 품질 지표
[재고 성능]
</t>
    </r>
    <r>
      <rPr>
        <b/>
        <sz val="12"/>
        <color rgb="FFFF0000"/>
        <rFont val="맑은 고딕"/>
        <family val="3"/>
        <charset val="129"/>
        <scheme val="minor"/>
      </rPr>
      <t>- 총 재고비용 (보유비용 h=1, 품절비용 p=9, Silver et al., 1998)</t>
    </r>
    <r>
      <rPr>
        <b/>
        <sz val="12"/>
        <color theme="1"/>
        <rFont val="맑은 고딕"/>
        <family val="2"/>
        <scheme val="minor"/>
      </rPr>
      <t xml:space="preserve">
- CSL(/수요) 달성률, Fill Rate, PIS (Periods In Stock)</t>
    </r>
    <phoneticPr fontId="4" type="noConversion"/>
  </si>
  <si>
    <t>..</t>
    <phoneticPr fontId="4" type="noConversion"/>
  </si>
  <si>
    <t>M1</t>
    <phoneticPr fontId="4" type="noConversion"/>
  </si>
  <si>
    <t>M2</t>
    <phoneticPr fontId="4" type="noConversion"/>
  </si>
  <si>
    <t>M3</t>
    <phoneticPr fontId="4" type="noConversion"/>
  </si>
  <si>
    <t>M4</t>
    <phoneticPr fontId="4" type="noConversion"/>
  </si>
  <si>
    <t>M5</t>
    <phoneticPr fontId="4" type="noConversion"/>
  </si>
  <si>
    <t>1등</t>
    <phoneticPr fontId="4" type="noConversion"/>
  </si>
  <si>
    <t>5등</t>
    <phoneticPr fontId="4" type="noConversion"/>
  </si>
  <si>
    <t>MASE</t>
    <phoneticPr fontId="4" type="noConversion"/>
  </si>
  <si>
    <t>…</t>
    <phoneticPr fontId="4" type="noConversion"/>
  </si>
  <si>
    <t>1. 어떻게 분석을 했는지 과정을 데이터기준에서 상세하게 순서도를 그릴 수 있는 수준으로 표현
2. 차별화 포인트 (1) 모델성능 개선 + (2) CSL 별 맞춤 전략 + (3) …</t>
    <phoneticPr fontId="4" type="noConversion"/>
  </si>
  <si>
    <r>
      <t xml:space="preserve">[비교 모델 — 5개]
</t>
    </r>
    <r>
      <rPr>
        <sz val="12"/>
        <color rgb="FFFF0000"/>
        <rFont val="맑은 고딕"/>
        <family val="2"/>
        <scheme val="minor"/>
      </rPr>
      <t xml:space="preserve">1. Croston(1972): 지수평활 기반, </t>
    </r>
    <r>
      <rPr>
        <sz val="12"/>
        <color rgb="FFFF0000"/>
        <rFont val="Calibri"/>
        <family val="2"/>
        <charset val="161"/>
      </rPr>
      <t>α</t>
    </r>
    <r>
      <rPr>
        <sz val="12"/>
        <color rgb="FFFF0000"/>
        <rFont val="맑은 고딕"/>
        <family val="2"/>
        <scheme val="minor"/>
      </rPr>
      <t xml:space="preserve"> ∈ [0.05, 0.50] MSE 최소화 최적화
2. SBA(Syntetos &amp; Boylan, 2005): Croston 편의 보정 모델
3. TSB(Teunter et al., 2011): 수요 크기·확률 독립 평활, 2D Nelder-Mead 최적화
4. NB(Snyder et al., 2012): Negative Binomial MLE, Zero-Inflated 처리
5. Bootstrap(Willemain et al., 2004): 2-state Markov chain, B=1,000 시뮬레이션
6. ARIMA
7. LSTM
8. ETS
9. LightGBM
10. Gam-QR
</t>
    </r>
    <r>
      <rPr>
        <sz val="12"/>
        <color theme="1"/>
        <rFont val="맑은 고딕"/>
        <family val="2"/>
        <scheme val="minor"/>
      </rPr>
      <t xml:space="preserve">
[예측 조합 — 3방식] + 검증(?)
</t>
    </r>
    <r>
      <rPr>
        <sz val="12"/>
        <color rgb="FFFF0000"/>
        <rFont val="맑은 고딕"/>
        <family val="3"/>
        <charset val="129"/>
        <scheme val="minor"/>
      </rPr>
      <t>- SA: 단순 평균 (동일 가중치)</t>
    </r>
    <r>
      <rPr>
        <sz val="12"/>
        <color theme="1"/>
        <rFont val="맑은 고딕"/>
        <family val="2"/>
        <scheme val="minor"/>
      </rPr>
      <t xml:space="preserve">
- LS: WSPL 역수 가중치 (검증 기간 성능 기반)
- OIC: 재고비용 최소화 가중치 (SLSQP 최적화, CSL 수준별 3개 산출)
[재고 시뮬레이션]
- 정책: Order-Up-To (Base-Stock)
- 실험 설계: CSL 3수준(75%·83.5%·97.5%) × 리드타임 2수준(1일·7일) = 6개 시나리오
[통계 검정]
- Diebold-Mariano 검정 (1995): 모델 간 WQL 차이의 통계적 유의성 검증
  (예측 지평 h=28, Newey-West HAC 수정 분산)</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</si>
</sst>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맑은 고딕"/>
      <family val="2"/>
      <scheme val="minor"/>
    </font>
    <font>
      <b/>
      <sz val="12"/>
      <color theme="1"/>
      <name val="맑은 고딕"/>
      <family val="3"/>
      <charset val="129"/>
      <scheme val="minor"/>
    </font>
    <font>
      <b/>
      <sz val="12"/>
      <color theme="1"/>
      <name val="맑은 고딕"/>
      <family val="2"/>
      <scheme val="minor"/>
    </font>
    <font>
      <i/>
      <sz val="12"/>
      <color theme="1"/>
      <name val="맑은 고딕"/>
      <family val="2"/>
      <scheme val="minor"/>
    </font>
    <font>
      <sz val="8"/>
      <name val="맑은 고딕"/>
      <family val="3"/>
      <charset val="129"/>
      <scheme val="minor"/>
    </font>
    <font>
      <b/>
      <sz val="12"/>
      <color rgb="FFFF0000"/>
      <name val="맑은 고딕"/>
      <family val="3"/>
      <charset val="129"/>
      <scheme val="minor"/>
    </font>
    <font>
      <sz val="12"/>
      <color rgb="FFFF0000"/>
      <name val="맑은 고딕"/>
      <family val="2"/>
      <scheme val="minor"/>
    </font>
    <font>
      <sz val="12"/>
      <color rgb="FFFF0000"/>
      <name val="Calibri"/>
      <family val="2"/>
      <charset val="161"/>
    </font>
    <font>
      <sz val="12"/>
      <color rgb="FFFF0000"/>
      <name val="맑은 고딕"/>
      <family val="3"/>
      <charset val="129"/>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0" fillId="0" borderId="0" xfId="0" applyAlignment="1">
      <alignment horizontal="center" vertical="center" wrapText="1"/>
    </xf>
    <xf numFmtId="0" fontId="2" fillId="0" borderId="0" xfId="0" applyFont="1" applyAlignment="1">
      <alignment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10" fontId="0" fillId="0" borderId="0" xfId="0" applyNumberFormat="1"/>
    <xf numFmtId="9" fontId="0" fillId="0" borderId="0" xfId="0" applyNumberForma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AB4AE-DD58-CD44-A7A5-813719FECF77}">
  <dimension ref="A1:Q19"/>
  <sheetViews>
    <sheetView tabSelected="1" topLeftCell="H1" workbookViewId="0">
      <selection activeCell="I2" sqref="I2"/>
    </sheetView>
  </sheetViews>
  <sheetFormatPr defaultColWidth="11.0546875" defaultRowHeight="19.149999999999999" x14ac:dyDescent="0.7"/>
  <cols>
    <col min="1" max="1" width="63.94140625" bestFit="1" customWidth="1"/>
    <col min="2" max="2" width="45.77734375" customWidth="1"/>
    <col min="3" max="3" width="115.1640625" bestFit="1" customWidth="1"/>
    <col min="4" max="4" width="60.27734375" bestFit="1" customWidth="1"/>
    <col min="5" max="5" width="11.1640625" bestFit="1" customWidth="1"/>
    <col min="6" max="6" width="35.44140625" bestFit="1" customWidth="1"/>
    <col min="7" max="7" width="30.44140625" bestFit="1" customWidth="1"/>
    <col min="8" max="8" width="38.6640625" customWidth="1"/>
    <col min="9" max="9" width="103.83203125" bestFit="1" customWidth="1"/>
    <col min="10" max="10" width="41.1640625" customWidth="1"/>
  </cols>
  <sheetData>
    <row r="1" spans="1:17" x14ac:dyDescent="0.7">
      <c r="A1" s="1" t="s">
        <v>0</v>
      </c>
      <c r="B1" s="1" t="s">
        <v>1</v>
      </c>
      <c r="C1" s="1" t="s">
        <v>2</v>
      </c>
      <c r="D1" s="1" t="s">
        <v>3</v>
      </c>
      <c r="E1" s="1" t="s">
        <v>4</v>
      </c>
      <c r="F1" s="1" t="s">
        <v>5</v>
      </c>
      <c r="G1" s="1" t="s">
        <v>6</v>
      </c>
      <c r="H1" s="1" t="s">
        <v>7</v>
      </c>
      <c r="I1" s="1" t="s">
        <v>8</v>
      </c>
      <c r="J1" s="1"/>
    </row>
    <row r="2" spans="1:17" ht="409.5" x14ac:dyDescent="0.7">
      <c r="A2" s="8" t="s">
        <v>12</v>
      </c>
      <c r="B2" s="7" t="s">
        <v>13</v>
      </c>
      <c r="C2" s="4" t="s">
        <v>11</v>
      </c>
      <c r="D2" s="5" t="s">
        <v>10</v>
      </c>
      <c r="E2" s="2">
        <v>2024</v>
      </c>
      <c r="F2" s="6" t="s">
        <v>14</v>
      </c>
      <c r="G2" s="2" t="s">
        <v>9</v>
      </c>
      <c r="H2" s="6" t="s">
        <v>15</v>
      </c>
      <c r="I2" s="7" t="s">
        <v>27</v>
      </c>
      <c r="J2" s="4" t="s">
        <v>26</v>
      </c>
      <c r="K2" s="3"/>
    </row>
    <row r="4" spans="1:17" x14ac:dyDescent="0.7">
      <c r="J4" s="9">
        <v>1E-3</v>
      </c>
      <c r="N4" s="10">
        <v>2</v>
      </c>
    </row>
    <row r="5" spans="1:17" x14ac:dyDescent="0.7">
      <c r="J5" t="s">
        <v>22</v>
      </c>
      <c r="N5" t="s">
        <v>23</v>
      </c>
    </row>
    <row r="6" spans="1:17" x14ac:dyDescent="0.7">
      <c r="J6" t="s">
        <v>17</v>
      </c>
      <c r="K6" t="s">
        <v>18</v>
      </c>
      <c r="L6" t="s">
        <v>19</v>
      </c>
      <c r="M6" t="s">
        <v>20</v>
      </c>
      <c r="N6" t="s">
        <v>21</v>
      </c>
    </row>
    <row r="7" spans="1:17" x14ac:dyDescent="0.7">
      <c r="I7">
        <v>1</v>
      </c>
    </row>
    <row r="8" spans="1:17" x14ac:dyDescent="0.7">
      <c r="I8">
        <v>2</v>
      </c>
    </row>
    <row r="9" spans="1:17" x14ac:dyDescent="0.7">
      <c r="I9">
        <v>3</v>
      </c>
    </row>
    <row r="10" spans="1:17" x14ac:dyDescent="0.7">
      <c r="I10">
        <v>4</v>
      </c>
    </row>
    <row r="11" spans="1:17" x14ac:dyDescent="0.7">
      <c r="I11" t="s">
        <v>16</v>
      </c>
    </row>
    <row r="12" spans="1:17" x14ac:dyDescent="0.7">
      <c r="I12">
        <v>12</v>
      </c>
      <c r="P12" t="s">
        <v>24</v>
      </c>
    </row>
    <row r="13" spans="1:17" x14ac:dyDescent="0.7">
      <c r="I13">
        <v>1</v>
      </c>
      <c r="J13">
        <v>100</v>
      </c>
      <c r="K13">
        <v>100</v>
      </c>
      <c r="L13">
        <v>100</v>
      </c>
      <c r="M13">
        <v>100</v>
      </c>
      <c r="N13">
        <v>100</v>
      </c>
      <c r="O13">
        <f>AVERAGE(J13:N13)</f>
        <v>100</v>
      </c>
      <c r="P13">
        <v>1</v>
      </c>
      <c r="Q13" t="s">
        <v>24</v>
      </c>
    </row>
    <row r="14" spans="1:17" x14ac:dyDescent="0.7">
      <c r="I14">
        <v>2</v>
      </c>
      <c r="J14">
        <v>200</v>
      </c>
      <c r="K14">
        <v>200</v>
      </c>
      <c r="L14">
        <v>200</v>
      </c>
      <c r="M14">
        <v>200</v>
      </c>
      <c r="N14">
        <v>200</v>
      </c>
      <c r="O14">
        <f t="shared" ref="O14:O18" si="0">AVERAGE(J14:N14)</f>
        <v>200</v>
      </c>
      <c r="P14">
        <v>2</v>
      </c>
    </row>
    <row r="15" spans="1:17" x14ac:dyDescent="0.7">
      <c r="I15">
        <v>3</v>
      </c>
      <c r="J15">
        <v>300</v>
      </c>
      <c r="K15">
        <v>300</v>
      </c>
      <c r="L15">
        <v>300</v>
      </c>
      <c r="M15">
        <v>300</v>
      </c>
      <c r="N15">
        <v>300</v>
      </c>
      <c r="O15">
        <f t="shared" si="0"/>
        <v>300</v>
      </c>
      <c r="P15">
        <v>1</v>
      </c>
    </row>
    <row r="16" spans="1:17" x14ac:dyDescent="0.7">
      <c r="I16">
        <v>4</v>
      </c>
      <c r="J16">
        <v>200</v>
      </c>
      <c r="K16">
        <v>200</v>
      </c>
      <c r="L16">
        <v>200</v>
      </c>
      <c r="M16">
        <v>200</v>
      </c>
      <c r="N16">
        <v>200</v>
      </c>
      <c r="O16">
        <f t="shared" si="0"/>
        <v>200</v>
      </c>
      <c r="P16">
        <v>3</v>
      </c>
    </row>
    <row r="17" spans="9:16" x14ac:dyDescent="0.7">
      <c r="I17">
        <v>5</v>
      </c>
      <c r="J17">
        <v>100</v>
      </c>
      <c r="K17">
        <v>100</v>
      </c>
      <c r="L17">
        <v>100</v>
      </c>
      <c r="M17">
        <v>100</v>
      </c>
      <c r="N17">
        <v>100</v>
      </c>
      <c r="O17">
        <f t="shared" si="0"/>
        <v>100</v>
      </c>
      <c r="P17">
        <v>1</v>
      </c>
    </row>
    <row r="18" spans="9:16" x14ac:dyDescent="0.7">
      <c r="I18" t="s">
        <v>25</v>
      </c>
      <c r="J18">
        <v>500</v>
      </c>
      <c r="K18">
        <v>500</v>
      </c>
      <c r="L18">
        <v>500</v>
      </c>
      <c r="M18">
        <v>500</v>
      </c>
      <c r="N18">
        <v>500</v>
      </c>
      <c r="O18">
        <f t="shared" si="0"/>
        <v>500</v>
      </c>
      <c r="P18">
        <v>1</v>
      </c>
    </row>
    <row r="19" spans="9:16" x14ac:dyDescent="0.7">
      <c r="I19">
        <v>28</v>
      </c>
      <c r="P19">
        <v>1</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민준 강</dc:creator>
  <cp:lastModifiedBy>KK</cp:lastModifiedBy>
  <dcterms:created xsi:type="dcterms:W3CDTF">2026-03-29T11:20:39Z</dcterms:created>
  <dcterms:modified xsi:type="dcterms:W3CDTF">2026-04-30T05:48:04Z</dcterms:modified>
</cp:coreProperties>
</file>